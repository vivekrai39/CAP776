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Vivek Rai\Desktop\CAP776\data\"/>
    </mc:Choice>
  </mc:AlternateContent>
  <xr:revisionPtr revIDLastSave="0" documentId="13_ncr:1_{AE52970F-EA08-441D-8579-32FDA581F05E}" xr6:coauthVersionLast="47" xr6:coauthVersionMax="47" xr10:uidLastSave="{00000000-0000-0000-0000-000000000000}"/>
  <bookViews>
    <workbookView xWindow="-108" yWindow="-108" windowWidth="23256" windowHeight="12456" tabRatio="269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7" i="2" l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J37" i="2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<sst xmlns="http://schemas.openxmlformats.org/spreadsheetml/2006/main" count="224" uniqueCount="103">
  <si>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</si>
  <si>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</si>
  <si>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</si>
  <si>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</si>
  <si>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</si>
  <si>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</si>
  <si>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</si>
  <si>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</si>
  <si>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</si>
  <si>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</si>
  <si>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</si>
  <si>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</si>
  <si>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</si>
  <si>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</si>
  <si>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</si>
  <si>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</si>
  <si>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</si>
  <si>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</si>
  <si>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</si>
  <si>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</si>
  <si>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</si>
  <si>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</si>
  <si>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</si>
  <si>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</si>
  <si>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</si>
  <si>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</si>
  <si>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</si>
  <si>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</si>
  <si>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</si>
  <si>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</si>
  <si>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</si>
  <si>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</si>
  <si>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</si>
  <si>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</si>
  <si>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</si>
  <si>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</si>
  <si>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</si>
  <si>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</si>
  <si>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</si>
  <si>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</si>
  <si>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</si>
  <si>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</si>
  <si>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</si>
  <si>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</si>
  <si>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</si>
  <si>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</si>
  <si>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</si>
  <si>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</si>
  <si>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</si>
  <si>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</si>
  <si>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</si>
  <si>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</si>
  <si>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</si>
  <si>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VIVEK KUMAR RAI</t>
  </si>
  <si>
    <t>MCA / D1P2633</t>
  </si>
  <si>
    <t>On this day,I have done my revison of program</t>
  </si>
  <si>
    <t>Very Satisfied</t>
  </si>
  <si>
    <t>High</t>
  </si>
  <si>
    <t>today I play cricket and complete my notes</t>
  </si>
  <si>
    <t>Neutral</t>
  </si>
  <si>
    <t>Good day overall,today I know the oops concept and python .</t>
  </si>
  <si>
    <t>today I slove real world problem by using c++</t>
  </si>
  <si>
    <t>today I learn new in advance database program</t>
  </si>
  <si>
    <t>today I tried bcoz back to back classes but learn new things</t>
  </si>
  <si>
    <t>today I learn Cisco packet tracer in networking</t>
  </si>
  <si>
    <t>today class off So I complete my notes and revision the concept</t>
  </si>
  <si>
    <t>Excellent</t>
  </si>
  <si>
    <t>today I play cricket and feel so happy</t>
  </si>
  <si>
    <t>today learn class and function in python and also c++</t>
  </si>
  <si>
    <t>today I learn about the type mindset and leadership</t>
  </si>
  <si>
    <t>today I visit the lpu sports indoor stadium and full enjoyed</t>
  </si>
  <si>
    <t xml:space="preserve">today back to back class but overall good </t>
  </si>
  <si>
    <t xml:space="preserve">In communicatipon class we do the group discussion </t>
  </si>
  <si>
    <t>today extra class then I go library and doing my work</t>
  </si>
  <si>
    <t>I complete my study and then I watch the web series</t>
  </si>
  <si>
    <t>In communication class I talk about th current affairs</t>
  </si>
  <si>
    <t>today overall feels good and productive by adpat the concept</t>
  </si>
  <si>
    <t>I learn how to improve ours vocals and pronountiation .</t>
  </si>
  <si>
    <t>Low</t>
  </si>
  <si>
    <t xml:space="preserve">today not feel good and but also attend the classes </t>
  </si>
  <si>
    <t>today prepare for CA and mentor meeting also attend</t>
  </si>
  <si>
    <t xml:space="preserve">today class off,so I done all the remaining the works </t>
  </si>
  <si>
    <t>nice and productive day with no classes</t>
  </si>
  <si>
    <t>Monday is not funday so we study and aslo goes wells</t>
  </si>
  <si>
    <t>pretty balanced day with classes and study</t>
  </si>
  <si>
    <t>today I learn shortcut to find the average and percentage .</t>
  </si>
  <si>
    <t>today we disscuss about problem statement in SIH</t>
  </si>
  <si>
    <t>Good day overall,but the schedule was quite full</t>
  </si>
  <si>
    <t>nice and productive day with no classes but I go library for study.</t>
  </si>
  <si>
    <t>all the notes and program for the next CA.</t>
  </si>
  <si>
    <t>today storytelling activity are performed by me and all good .</t>
  </si>
  <si>
    <t>overall days goes good but back to back classes schedule</t>
  </si>
  <si>
    <t>I learn file handling c++ and python programming .</t>
  </si>
  <si>
    <t xml:space="preserve">today my mentor meeting and DHCP connections </t>
  </si>
  <si>
    <t>I learn and prepare for my ca of pel course</t>
  </si>
  <si>
    <t xml:space="preserve">today I start and thinking  about my new project </t>
  </si>
  <si>
    <t>today I watch movies and start coding for my new project</t>
  </si>
  <si>
    <t>overall days goes good and add member in my project</t>
  </si>
  <si>
    <t>preparing for ca and mid-term test</t>
  </si>
  <si>
    <t>quite a busy day with classes and study</t>
  </si>
  <si>
    <t>today ca's of subject english and dbms,its goes very well</t>
  </si>
  <si>
    <t xml:space="preserve">back to back classes with busy schedule </t>
  </si>
  <si>
    <t>one exttra class of c++ and do your mini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</si>
</sst>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" fontId="0" fillId="2" borderId="1" xfId="0" applyNumberFormat="1" applyFill="1" applyBorder="1"/>
    <xf numFmtId="16" fontId="0" fillId="2" borderId="1" xfId="0" applyNumberFormat="1" applyFill="1" applyBorder="1" applyAlignment="1">
      <alignment horizontal="left" vertical="center" wrapText="1"/>
    </xf>
    <xf numFmtId="0" fontId="8" fillId="0" borderId="2" xfId="0" applyFont="1" applyBorder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9"/>
  <sheetViews>
    <sheetView showGridLines="0" tabSelected="1" zoomScale="115" zoomScaleNormal="115" workbookViewId="0">
      <pane xSplit="1" ySplit="5" topLeftCell="B45" activePane="bottomRight" state="frozen"/>
      <selection pane="topRight" activeCell="B1" sqref="B1"/>
      <selection pane="bottomLeft" activeCell="A6" sqref="A6"/>
      <selection pane="bottomRight" sqref="A1:N1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9.5" customHeight="1" x14ac:dyDescent="0.3">
      <c r="A2" s="6" t="s">
        <v>30</v>
      </c>
      <c r="B2" s="17" t="s">
        <v>53</v>
      </c>
      <c r="C2" s="17"/>
      <c r="D2" s="17"/>
      <c r="E2" s="6" t="s">
        <v>31</v>
      </c>
      <c r="F2" s="17">
        <v>12618749</v>
      </c>
      <c r="G2" s="17"/>
    </row>
    <row r="3" spans="1:14" ht="19.5" customHeight="1" x14ac:dyDescent="0.3">
      <c r="A3" s="6" t="s">
        <v>32</v>
      </c>
      <c r="B3" s="17" t="s">
        <v>54</v>
      </c>
      <c r="C3" s="17"/>
      <c r="D3" s="17"/>
      <c r="E3" s="6" t="s">
        <v>33</v>
      </c>
      <c r="F3" s="13">
        <v>46249</v>
      </c>
      <c r="G3" s="13">
        <v>46291</v>
      </c>
    </row>
    <row r="4" spans="1:14" x14ac:dyDescent="0.3">
      <c r="A4" s="15" t="s">
        <v>34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46249</v>
      </c>
      <c r="B6" s="9">
        <v>420</v>
      </c>
      <c r="C6" s="9">
        <v>60</v>
      </c>
      <c r="D6" s="9">
        <v>120</v>
      </c>
      <c r="E6" s="9">
        <v>80</v>
      </c>
      <c r="F6" s="9">
        <v>300</v>
      </c>
      <c r="G6" s="9">
        <v>0</v>
      </c>
      <c r="H6" s="9">
        <v>180</v>
      </c>
      <c r="I6" s="10">
        <f t="shared" ref="I6:I67" si="0">IF(SUM(B6:F6,H6)=0,"",SUM(B6:F6,H6))</f>
        <v>1160</v>
      </c>
      <c r="J6" s="10">
        <f t="shared" ref="J6:J67" si="1">IF(I6="","",1440-I6)</f>
        <v>280</v>
      </c>
      <c r="K6" s="11" t="s">
        <v>49</v>
      </c>
      <c r="L6" s="11" t="s">
        <v>50</v>
      </c>
      <c r="M6" s="11" t="s">
        <v>51</v>
      </c>
      <c r="N6" s="12" t="s">
        <v>55</v>
      </c>
    </row>
    <row r="7" spans="1:14" ht="28.8" x14ac:dyDescent="0.3">
      <c r="A7" s="8">
        <v>46250</v>
      </c>
      <c r="B7" s="9">
        <v>380</v>
      </c>
      <c r="C7" s="9">
        <v>55</v>
      </c>
      <c r="D7" s="9">
        <v>80</v>
      </c>
      <c r="E7" s="9">
        <v>95</v>
      </c>
      <c r="F7" s="9">
        <v>0</v>
      </c>
      <c r="G7" s="9">
        <v>0</v>
      </c>
      <c r="H7" s="9">
        <v>120</v>
      </c>
      <c r="I7" s="10">
        <f t="shared" si="0"/>
        <v>730</v>
      </c>
      <c r="J7" s="10">
        <f t="shared" si="1"/>
        <v>710</v>
      </c>
      <c r="K7" s="11" t="s">
        <v>49</v>
      </c>
      <c r="L7" s="11" t="s">
        <v>56</v>
      </c>
      <c r="M7" s="11" t="s">
        <v>57</v>
      </c>
      <c r="N7" s="12" t="s">
        <v>58</v>
      </c>
    </row>
    <row r="8" spans="1:14" ht="28.8" x14ac:dyDescent="0.3">
      <c r="A8" s="8">
        <v>46251</v>
      </c>
      <c r="B8" s="9">
        <v>400</v>
      </c>
      <c r="C8" s="9">
        <v>60</v>
      </c>
      <c r="D8" s="9">
        <v>70</v>
      </c>
      <c r="E8" s="9">
        <v>100</v>
      </c>
      <c r="F8" s="9">
        <v>250</v>
      </c>
      <c r="G8" s="9">
        <v>5</v>
      </c>
      <c r="H8" s="9">
        <v>120</v>
      </c>
      <c r="I8" s="10">
        <f t="shared" si="0"/>
        <v>1000</v>
      </c>
      <c r="J8" s="10">
        <f t="shared" si="1"/>
        <v>440</v>
      </c>
      <c r="K8" s="11" t="s">
        <v>59</v>
      </c>
      <c r="L8" s="11" t="s">
        <v>59</v>
      </c>
      <c r="M8" s="11" t="s">
        <v>51</v>
      </c>
      <c r="N8" s="12" t="s">
        <v>60</v>
      </c>
    </row>
    <row r="9" spans="1:14" ht="28.8" x14ac:dyDescent="0.3">
      <c r="A9" s="8">
        <v>46252</v>
      </c>
      <c r="B9" s="9">
        <v>410</v>
      </c>
      <c r="C9" s="9">
        <v>50</v>
      </c>
      <c r="D9" s="9">
        <v>90</v>
      </c>
      <c r="E9" s="9">
        <v>100</v>
      </c>
      <c r="F9" s="9">
        <v>250</v>
      </c>
      <c r="G9" s="9">
        <v>5</v>
      </c>
      <c r="H9" s="9">
        <v>80</v>
      </c>
      <c r="I9" s="10">
        <f t="shared" si="0"/>
        <v>980</v>
      </c>
      <c r="J9" s="10">
        <f t="shared" si="1"/>
        <v>460</v>
      </c>
      <c r="K9" s="11" t="s">
        <v>49</v>
      </c>
      <c r="L9" s="11" t="s">
        <v>50</v>
      </c>
      <c r="M9" s="11" t="s">
        <v>51</v>
      </c>
      <c r="N9" s="14" t="s">
        <v>61</v>
      </c>
    </row>
    <row r="10" spans="1:14" ht="28.8" x14ac:dyDescent="0.3">
      <c r="A10" s="8">
        <v>46253</v>
      </c>
      <c r="B10" s="9">
        <v>420</v>
      </c>
      <c r="C10" s="9">
        <v>55</v>
      </c>
      <c r="D10" s="9">
        <v>110</v>
      </c>
      <c r="E10" s="9">
        <v>30</v>
      </c>
      <c r="F10" s="9">
        <v>250</v>
      </c>
      <c r="G10" s="9">
        <v>5</v>
      </c>
      <c r="H10" s="9">
        <v>50</v>
      </c>
      <c r="I10" s="10">
        <f t="shared" si="0"/>
        <v>915</v>
      </c>
      <c r="J10" s="10">
        <f t="shared" si="1"/>
        <v>525</v>
      </c>
      <c r="K10" s="11" t="s">
        <v>49</v>
      </c>
      <c r="L10" s="11" t="s">
        <v>50</v>
      </c>
      <c r="M10" s="11" t="s">
        <v>51</v>
      </c>
      <c r="N10" s="12" t="s">
        <v>62</v>
      </c>
    </row>
    <row r="11" spans="1:14" ht="28.8" x14ac:dyDescent="0.3">
      <c r="A11" s="8">
        <v>46254</v>
      </c>
      <c r="B11" s="9">
        <v>400</v>
      </c>
      <c r="C11" s="9">
        <v>65</v>
      </c>
      <c r="D11" s="9">
        <v>80</v>
      </c>
      <c r="E11" s="9">
        <v>100</v>
      </c>
      <c r="F11" s="9">
        <v>300</v>
      </c>
      <c r="G11" s="9">
        <v>6</v>
      </c>
      <c r="H11" s="9">
        <v>40</v>
      </c>
      <c r="I11" s="10">
        <f t="shared" si="0"/>
        <v>985</v>
      </c>
      <c r="J11" s="10">
        <f t="shared" si="1"/>
        <v>455</v>
      </c>
      <c r="K11" s="11" t="s">
        <v>59</v>
      </c>
      <c r="L11" s="11" t="s">
        <v>59</v>
      </c>
      <c r="M11" s="11" t="s">
        <v>51</v>
      </c>
      <c r="N11" s="12" t="s">
        <v>63</v>
      </c>
    </row>
    <row r="12" spans="1:14" ht="28.8" x14ac:dyDescent="0.3">
      <c r="A12" s="8">
        <v>46255</v>
      </c>
      <c r="B12" s="9">
        <v>480</v>
      </c>
      <c r="C12" s="9">
        <v>50</v>
      </c>
      <c r="D12" s="9">
        <v>150</v>
      </c>
      <c r="E12" s="9">
        <v>150</v>
      </c>
      <c r="F12" s="9">
        <v>300</v>
      </c>
      <c r="G12" s="9">
        <v>6</v>
      </c>
      <c r="H12" s="9">
        <v>55</v>
      </c>
      <c r="I12" s="10">
        <f t="shared" si="0"/>
        <v>1185</v>
      </c>
      <c r="J12" s="10">
        <f t="shared" si="1"/>
        <v>255</v>
      </c>
      <c r="K12" s="11" t="s">
        <v>49</v>
      </c>
      <c r="L12" s="11" t="s">
        <v>50</v>
      </c>
      <c r="M12" s="11" t="s">
        <v>57</v>
      </c>
      <c r="N12" s="12" t="s">
        <v>64</v>
      </c>
    </row>
    <row r="13" spans="1:14" ht="28.8" x14ac:dyDescent="0.3">
      <c r="A13" s="8">
        <v>46256</v>
      </c>
      <c r="B13" s="9">
        <v>480</v>
      </c>
      <c r="C13" s="9">
        <v>30</v>
      </c>
      <c r="D13" s="9">
        <v>180</v>
      </c>
      <c r="E13" s="9">
        <v>100</v>
      </c>
      <c r="F13" s="9">
        <v>0</v>
      </c>
      <c r="G13" s="9">
        <v>0</v>
      </c>
      <c r="H13" s="9">
        <v>120</v>
      </c>
      <c r="I13" s="10">
        <f t="shared" si="0"/>
        <v>910</v>
      </c>
      <c r="J13" s="10">
        <f t="shared" si="1"/>
        <v>530</v>
      </c>
      <c r="K13" s="11" t="s">
        <v>49</v>
      </c>
      <c r="L13" s="11" t="s">
        <v>50</v>
      </c>
      <c r="M13" s="11" t="s">
        <v>57</v>
      </c>
      <c r="N13" s="12" t="s">
        <v>65</v>
      </c>
    </row>
    <row r="14" spans="1:14" ht="28.8" x14ac:dyDescent="0.3">
      <c r="A14" s="8">
        <v>46257</v>
      </c>
      <c r="B14" s="9">
        <v>450</v>
      </c>
      <c r="C14" s="9">
        <v>20</v>
      </c>
      <c r="D14" s="9">
        <v>200</v>
      </c>
      <c r="E14" s="9">
        <v>60</v>
      </c>
      <c r="F14" s="9">
        <v>0</v>
      </c>
      <c r="G14" s="9">
        <v>0</v>
      </c>
      <c r="H14" s="9">
        <v>100</v>
      </c>
      <c r="I14" s="10">
        <f t="shared" si="0"/>
        <v>830</v>
      </c>
      <c r="J14" s="10">
        <f t="shared" si="1"/>
        <v>610</v>
      </c>
      <c r="K14" s="11" t="s">
        <v>66</v>
      </c>
      <c r="L14" s="11" t="s">
        <v>50</v>
      </c>
      <c r="M14" s="11" t="s">
        <v>51</v>
      </c>
      <c r="N14" s="12" t="s">
        <v>67</v>
      </c>
    </row>
    <row r="15" spans="1:14" ht="28.8" x14ac:dyDescent="0.3">
      <c r="A15" s="8">
        <v>46258</v>
      </c>
      <c r="B15" s="9">
        <v>360</v>
      </c>
      <c r="C15" s="9">
        <v>60</v>
      </c>
      <c r="D15" s="9">
        <v>100</v>
      </c>
      <c r="E15" s="9">
        <v>100</v>
      </c>
      <c r="F15" s="9">
        <v>250</v>
      </c>
      <c r="G15" s="9">
        <v>5</v>
      </c>
      <c r="H15" s="9">
        <v>90</v>
      </c>
      <c r="I15" s="10">
        <f t="shared" si="0"/>
        <v>960</v>
      </c>
      <c r="J15" s="10">
        <f t="shared" si="1"/>
        <v>480</v>
      </c>
      <c r="K15" s="11" t="s">
        <v>49</v>
      </c>
      <c r="L15" s="11" t="s">
        <v>59</v>
      </c>
      <c r="M15" s="11" t="s">
        <v>51</v>
      </c>
      <c r="N15" s="12" t="s">
        <v>68</v>
      </c>
    </row>
    <row r="16" spans="1:14" ht="28.8" x14ac:dyDescent="0.3">
      <c r="A16" s="8">
        <v>46259</v>
      </c>
      <c r="B16" s="9">
        <v>400</v>
      </c>
      <c r="C16" s="9">
        <v>50</v>
      </c>
      <c r="D16" s="9">
        <v>80</v>
      </c>
      <c r="E16" s="9">
        <v>100</v>
      </c>
      <c r="F16" s="9">
        <v>250</v>
      </c>
      <c r="G16" s="9">
        <v>5</v>
      </c>
      <c r="H16" s="9">
        <v>50</v>
      </c>
      <c r="I16" s="10">
        <f t="shared" si="0"/>
        <v>930</v>
      </c>
      <c r="J16" s="10">
        <f t="shared" si="1"/>
        <v>510</v>
      </c>
      <c r="K16" s="11" t="s">
        <v>49</v>
      </c>
      <c r="L16" s="11" t="s">
        <v>50</v>
      </c>
      <c r="M16" s="11" t="s">
        <v>51</v>
      </c>
      <c r="N16" s="12" t="s">
        <v>69</v>
      </c>
    </row>
    <row r="17" spans="1:14" ht="28.8" x14ac:dyDescent="0.3">
      <c r="A17" s="8">
        <v>46260</v>
      </c>
      <c r="B17" s="9">
        <v>420</v>
      </c>
      <c r="C17" s="9">
        <v>40</v>
      </c>
      <c r="D17" s="9">
        <v>120</v>
      </c>
      <c r="E17" s="9">
        <v>60</v>
      </c>
      <c r="F17" s="9">
        <v>250</v>
      </c>
      <c r="G17" s="9">
        <v>5</v>
      </c>
      <c r="H17" s="9">
        <v>60</v>
      </c>
      <c r="I17" s="10">
        <f t="shared" si="0"/>
        <v>950</v>
      </c>
      <c r="J17" s="10">
        <f t="shared" si="1"/>
        <v>490</v>
      </c>
      <c r="K17" s="11" t="s">
        <v>59</v>
      </c>
      <c r="L17" s="11" t="s">
        <v>59</v>
      </c>
      <c r="M17" s="11" t="s">
        <v>51</v>
      </c>
      <c r="N17" s="12" t="s">
        <v>70</v>
      </c>
    </row>
    <row r="18" spans="1:14" ht="28.8" x14ac:dyDescent="0.3">
      <c r="A18" s="8">
        <v>46261</v>
      </c>
      <c r="B18" s="9">
        <v>400</v>
      </c>
      <c r="C18" s="9">
        <v>60</v>
      </c>
      <c r="D18" s="9">
        <v>180</v>
      </c>
      <c r="E18" s="9">
        <v>90</v>
      </c>
      <c r="F18" s="9">
        <v>300</v>
      </c>
      <c r="G18" s="9">
        <v>6</v>
      </c>
      <c r="H18" s="9">
        <v>80</v>
      </c>
      <c r="I18" s="10">
        <f t="shared" si="0"/>
        <v>1110</v>
      </c>
      <c r="J18" s="10">
        <f t="shared" si="1"/>
        <v>330</v>
      </c>
      <c r="K18" s="11" t="s">
        <v>59</v>
      </c>
      <c r="L18" s="11" t="s">
        <v>50</v>
      </c>
      <c r="M18" s="11" t="s">
        <v>51</v>
      </c>
      <c r="N18" s="14" t="s">
        <v>71</v>
      </c>
    </row>
    <row r="19" spans="1:14" ht="28.8" x14ac:dyDescent="0.3">
      <c r="A19" s="8">
        <v>46262</v>
      </c>
      <c r="B19" s="9">
        <v>420</v>
      </c>
      <c r="C19" s="9">
        <v>50</v>
      </c>
      <c r="D19" s="9">
        <v>240</v>
      </c>
      <c r="E19" s="9">
        <v>100</v>
      </c>
      <c r="F19" s="9">
        <v>300</v>
      </c>
      <c r="G19" s="9">
        <v>6</v>
      </c>
      <c r="H19" s="9">
        <v>60</v>
      </c>
      <c r="I19" s="10">
        <f t="shared" si="0"/>
        <v>1170</v>
      </c>
      <c r="J19" s="10">
        <f t="shared" si="1"/>
        <v>270</v>
      </c>
      <c r="K19" s="11" t="s">
        <v>49</v>
      </c>
      <c r="L19" s="11" t="s">
        <v>59</v>
      </c>
      <c r="M19" s="11" t="s">
        <v>57</v>
      </c>
      <c r="N19" s="12" t="s">
        <v>72</v>
      </c>
    </row>
    <row r="20" spans="1:14" ht="28.8" x14ac:dyDescent="0.3">
      <c r="A20" s="8">
        <v>46263</v>
      </c>
      <c r="B20" s="9">
        <v>450</v>
      </c>
      <c r="C20" s="9">
        <v>60</v>
      </c>
      <c r="D20" s="9">
        <v>180</v>
      </c>
      <c r="E20" s="9">
        <v>120</v>
      </c>
      <c r="F20" s="9">
        <v>50</v>
      </c>
      <c r="G20" s="9">
        <v>1</v>
      </c>
      <c r="H20" s="9">
        <v>90</v>
      </c>
      <c r="I20" s="10">
        <f t="shared" si="0"/>
        <v>950</v>
      </c>
      <c r="J20" s="10">
        <f t="shared" si="1"/>
        <v>490</v>
      </c>
      <c r="K20" s="11" t="s">
        <v>49</v>
      </c>
      <c r="L20" s="11" t="s">
        <v>50</v>
      </c>
      <c r="M20" s="11" t="s">
        <v>51</v>
      </c>
      <c r="N20" s="12" t="s">
        <v>73</v>
      </c>
    </row>
    <row r="21" spans="1:14" ht="28.8" x14ac:dyDescent="0.3">
      <c r="A21" s="8">
        <v>46264</v>
      </c>
      <c r="B21" s="9">
        <v>450</v>
      </c>
      <c r="C21" s="9">
        <v>30</v>
      </c>
      <c r="D21" s="9">
        <v>240</v>
      </c>
      <c r="E21" s="9">
        <v>180</v>
      </c>
      <c r="F21" s="9">
        <v>0</v>
      </c>
      <c r="G21" s="9">
        <v>0</v>
      </c>
      <c r="H21" s="9">
        <v>60</v>
      </c>
      <c r="I21" s="10">
        <f t="shared" si="0"/>
        <v>960</v>
      </c>
      <c r="J21" s="10">
        <f t="shared" si="1"/>
        <v>480</v>
      </c>
      <c r="K21" s="11" t="s">
        <v>66</v>
      </c>
      <c r="L21" s="11" t="s">
        <v>50</v>
      </c>
      <c r="M21" s="11" t="s">
        <v>57</v>
      </c>
      <c r="N21" s="12" t="s">
        <v>74</v>
      </c>
    </row>
    <row r="22" spans="1:14" ht="28.8" x14ac:dyDescent="0.3">
      <c r="A22" s="8">
        <v>46265</v>
      </c>
      <c r="B22" s="9">
        <v>360</v>
      </c>
      <c r="C22" s="9">
        <v>70</v>
      </c>
      <c r="D22" s="9">
        <v>100</v>
      </c>
      <c r="E22" s="9">
        <v>100</v>
      </c>
      <c r="F22" s="9">
        <v>250</v>
      </c>
      <c r="G22" s="9">
        <v>5</v>
      </c>
      <c r="H22" s="9">
        <v>60</v>
      </c>
      <c r="I22" s="10">
        <f t="shared" si="0"/>
        <v>940</v>
      </c>
      <c r="J22" s="10">
        <f t="shared" si="1"/>
        <v>500</v>
      </c>
      <c r="K22" s="11" t="s">
        <v>49</v>
      </c>
      <c r="L22" s="11" t="s">
        <v>50</v>
      </c>
      <c r="M22" s="11" t="s">
        <v>51</v>
      </c>
      <c r="N22" s="12" t="s">
        <v>75</v>
      </c>
    </row>
    <row r="23" spans="1:14" ht="28.8" x14ac:dyDescent="0.3">
      <c r="A23" s="8">
        <v>46266</v>
      </c>
      <c r="B23" s="9">
        <v>400</v>
      </c>
      <c r="C23" s="9">
        <v>50</v>
      </c>
      <c r="D23" s="9">
        <v>180</v>
      </c>
      <c r="E23" s="9">
        <v>100</v>
      </c>
      <c r="F23" s="9">
        <v>250</v>
      </c>
      <c r="G23" s="9">
        <v>5</v>
      </c>
      <c r="H23" s="9">
        <v>90</v>
      </c>
      <c r="I23" s="10">
        <f t="shared" si="0"/>
        <v>1070</v>
      </c>
      <c r="J23" s="10">
        <f t="shared" si="1"/>
        <v>370</v>
      </c>
      <c r="K23" s="11" t="s">
        <v>49</v>
      </c>
      <c r="L23" s="11" t="s">
        <v>50</v>
      </c>
      <c r="M23" s="11" t="s">
        <v>51</v>
      </c>
      <c r="N23" s="12" t="s">
        <v>76</v>
      </c>
    </row>
    <row r="24" spans="1:14" ht="28.8" x14ac:dyDescent="0.3">
      <c r="A24" s="8">
        <v>46267</v>
      </c>
      <c r="B24" s="9">
        <v>380</v>
      </c>
      <c r="C24" s="9">
        <v>40</v>
      </c>
      <c r="D24" s="9">
        <v>220</v>
      </c>
      <c r="E24" s="9">
        <v>80</v>
      </c>
      <c r="F24" s="9">
        <v>250</v>
      </c>
      <c r="G24" s="9">
        <v>5</v>
      </c>
      <c r="H24" s="9">
        <v>70</v>
      </c>
      <c r="I24" s="10">
        <f t="shared" si="0"/>
        <v>1040</v>
      </c>
      <c r="J24" s="10">
        <f t="shared" si="1"/>
        <v>400</v>
      </c>
      <c r="K24" s="11" t="s">
        <v>59</v>
      </c>
      <c r="L24" s="11" t="s">
        <v>59</v>
      </c>
      <c r="M24" s="11" t="s">
        <v>51</v>
      </c>
      <c r="N24" s="12" t="s">
        <v>77</v>
      </c>
    </row>
    <row r="25" spans="1:14" ht="28.8" x14ac:dyDescent="0.3">
      <c r="A25" s="8">
        <v>46268</v>
      </c>
      <c r="B25" s="9">
        <v>420</v>
      </c>
      <c r="C25" s="9">
        <v>60</v>
      </c>
      <c r="D25" s="9">
        <v>180</v>
      </c>
      <c r="E25" s="9">
        <v>120</v>
      </c>
      <c r="F25" s="9">
        <v>300</v>
      </c>
      <c r="G25" s="9">
        <v>6</v>
      </c>
      <c r="H25" s="9">
        <v>80</v>
      </c>
      <c r="I25" s="10">
        <f t="shared" si="0"/>
        <v>1160</v>
      </c>
      <c r="J25" s="10">
        <f t="shared" si="1"/>
        <v>280</v>
      </c>
      <c r="K25" s="11" t="s">
        <v>49</v>
      </c>
      <c r="L25" s="11" t="s">
        <v>59</v>
      </c>
      <c r="M25" s="11" t="s">
        <v>78</v>
      </c>
      <c r="N25" s="12" t="s">
        <v>79</v>
      </c>
    </row>
    <row r="26" spans="1:14" ht="28.8" x14ac:dyDescent="0.3">
      <c r="A26" s="8">
        <v>46269</v>
      </c>
      <c r="B26" s="9">
        <v>320</v>
      </c>
      <c r="C26" s="9">
        <v>40</v>
      </c>
      <c r="D26" s="9">
        <v>250</v>
      </c>
      <c r="E26" s="9">
        <v>100</v>
      </c>
      <c r="F26" s="9">
        <v>300</v>
      </c>
      <c r="G26" s="9">
        <v>6</v>
      </c>
      <c r="H26" s="9">
        <v>60</v>
      </c>
      <c r="I26" s="10">
        <f t="shared" si="0"/>
        <v>1070</v>
      </c>
      <c r="J26" s="10">
        <f t="shared" si="1"/>
        <v>370</v>
      </c>
      <c r="K26" s="11" t="s">
        <v>49</v>
      </c>
      <c r="L26" s="11" t="s">
        <v>59</v>
      </c>
      <c r="M26" s="11" t="s">
        <v>51</v>
      </c>
      <c r="N26" s="12" t="s">
        <v>80</v>
      </c>
    </row>
    <row r="27" spans="1:14" ht="28.8" x14ac:dyDescent="0.3">
      <c r="A27" s="8">
        <v>46270</v>
      </c>
      <c r="B27" s="9">
        <v>400</v>
      </c>
      <c r="C27" s="9">
        <v>30</v>
      </c>
      <c r="D27" s="9">
        <v>300</v>
      </c>
      <c r="E27" s="9">
        <v>60</v>
      </c>
      <c r="F27" s="9">
        <v>0</v>
      </c>
      <c r="G27" s="9">
        <v>0</v>
      </c>
      <c r="H27" s="9">
        <v>40</v>
      </c>
      <c r="I27" s="10">
        <f t="shared" si="0"/>
        <v>830</v>
      </c>
      <c r="J27" s="10">
        <f t="shared" si="1"/>
        <v>610</v>
      </c>
      <c r="K27" s="11" t="s">
        <v>66</v>
      </c>
      <c r="L27" s="11" t="s">
        <v>56</v>
      </c>
      <c r="M27" s="11" t="s">
        <v>57</v>
      </c>
      <c r="N27" s="12" t="s">
        <v>81</v>
      </c>
    </row>
    <row r="28" spans="1:14" ht="28.8" x14ac:dyDescent="0.3">
      <c r="A28" s="8">
        <v>46271</v>
      </c>
      <c r="B28" s="9">
        <v>420</v>
      </c>
      <c r="C28" s="9">
        <v>10</v>
      </c>
      <c r="D28" s="9">
        <v>240</v>
      </c>
      <c r="E28" s="9">
        <v>100</v>
      </c>
      <c r="F28" s="9">
        <v>0</v>
      </c>
      <c r="G28" s="9">
        <v>0</v>
      </c>
      <c r="H28" s="9">
        <v>30</v>
      </c>
      <c r="I28" s="10">
        <f t="shared" si="0"/>
        <v>800</v>
      </c>
      <c r="J28" s="10">
        <f t="shared" si="1"/>
        <v>640</v>
      </c>
      <c r="K28" s="11" t="s">
        <v>66</v>
      </c>
      <c r="L28" s="11" t="s">
        <v>50</v>
      </c>
      <c r="M28" s="11" t="s">
        <v>51</v>
      </c>
      <c r="N28" s="12" t="s">
        <v>82</v>
      </c>
    </row>
    <row r="29" spans="1:14" ht="28.8" x14ac:dyDescent="0.3">
      <c r="A29" s="8">
        <v>46272</v>
      </c>
      <c r="B29" s="9">
        <v>360</v>
      </c>
      <c r="C29" s="9">
        <v>60</v>
      </c>
      <c r="D29" s="9">
        <v>100</v>
      </c>
      <c r="E29" s="9">
        <v>100</v>
      </c>
      <c r="F29" s="9">
        <v>250</v>
      </c>
      <c r="G29" s="9">
        <v>5</v>
      </c>
      <c r="H29" s="9">
        <v>70</v>
      </c>
      <c r="I29" s="10">
        <f t="shared" si="0"/>
        <v>940</v>
      </c>
      <c r="J29" s="10">
        <f t="shared" si="1"/>
        <v>500</v>
      </c>
      <c r="K29" s="11" t="s">
        <v>49</v>
      </c>
      <c r="L29" s="11" t="s">
        <v>50</v>
      </c>
      <c r="M29" s="11" t="s">
        <v>51</v>
      </c>
      <c r="N29" s="12" t="s">
        <v>83</v>
      </c>
    </row>
    <row r="30" spans="1:14" ht="28.8" x14ac:dyDescent="0.3">
      <c r="A30" s="8">
        <v>46273</v>
      </c>
      <c r="B30" s="9">
        <v>400</v>
      </c>
      <c r="C30" s="9">
        <v>70</v>
      </c>
      <c r="D30" s="9">
        <v>120</v>
      </c>
      <c r="E30" s="9">
        <v>100</v>
      </c>
      <c r="F30" s="9">
        <v>250</v>
      </c>
      <c r="G30" s="9">
        <v>5</v>
      </c>
      <c r="H30" s="9">
        <v>50</v>
      </c>
      <c r="I30" s="10">
        <f t="shared" si="0"/>
        <v>990</v>
      </c>
      <c r="J30" s="10">
        <f t="shared" si="1"/>
        <v>450</v>
      </c>
      <c r="K30" s="11" t="s">
        <v>59</v>
      </c>
      <c r="L30" s="11" t="s">
        <v>59</v>
      </c>
      <c r="M30" s="11" t="s">
        <v>57</v>
      </c>
      <c r="N30" s="12" t="s">
        <v>84</v>
      </c>
    </row>
    <row r="31" spans="1:14" ht="28.8" x14ac:dyDescent="0.3">
      <c r="A31" s="8">
        <v>46274</v>
      </c>
      <c r="B31" s="9">
        <v>420</v>
      </c>
      <c r="C31" s="9">
        <v>80</v>
      </c>
      <c r="D31" s="9">
        <v>220</v>
      </c>
      <c r="E31" s="9">
        <v>60</v>
      </c>
      <c r="F31" s="9">
        <v>250</v>
      </c>
      <c r="G31" s="9">
        <v>5</v>
      </c>
      <c r="H31" s="9">
        <v>60</v>
      </c>
      <c r="I31" s="10">
        <f t="shared" si="0"/>
        <v>1090</v>
      </c>
      <c r="J31" s="10">
        <f t="shared" si="1"/>
        <v>350</v>
      </c>
      <c r="K31" s="11" t="s">
        <v>66</v>
      </c>
      <c r="L31" s="11" t="s">
        <v>50</v>
      </c>
      <c r="M31" s="11" t="s">
        <v>51</v>
      </c>
      <c r="N31" s="12" t="s">
        <v>85</v>
      </c>
    </row>
    <row r="32" spans="1:14" ht="28.8" x14ac:dyDescent="0.3">
      <c r="A32" s="8">
        <v>46275</v>
      </c>
      <c r="B32" s="9">
        <v>340</v>
      </c>
      <c r="C32" s="9">
        <v>60</v>
      </c>
      <c r="D32" s="9">
        <v>120</v>
      </c>
      <c r="E32" s="9">
        <v>100</v>
      </c>
      <c r="F32" s="9">
        <v>300</v>
      </c>
      <c r="G32" s="9">
        <v>6</v>
      </c>
      <c r="H32" s="9">
        <v>80</v>
      </c>
      <c r="I32" s="10">
        <f t="shared" si="0"/>
        <v>1000</v>
      </c>
      <c r="J32" s="10">
        <f t="shared" si="1"/>
        <v>440</v>
      </c>
      <c r="K32" s="11" t="s">
        <v>49</v>
      </c>
      <c r="L32" s="11" t="s">
        <v>50</v>
      </c>
      <c r="M32" s="11" t="s">
        <v>57</v>
      </c>
      <c r="N32" s="12" t="s">
        <v>86</v>
      </c>
    </row>
    <row r="33" spans="1:14" ht="28.8" x14ac:dyDescent="0.3">
      <c r="A33" s="8">
        <v>46276</v>
      </c>
      <c r="B33" s="9">
        <v>420</v>
      </c>
      <c r="C33" s="9">
        <v>50</v>
      </c>
      <c r="D33" s="9">
        <v>180</v>
      </c>
      <c r="E33" s="9">
        <v>120</v>
      </c>
      <c r="F33" s="9">
        <v>300</v>
      </c>
      <c r="G33" s="9">
        <v>6</v>
      </c>
      <c r="H33" s="9">
        <v>60</v>
      </c>
      <c r="I33" s="10">
        <f t="shared" si="0"/>
        <v>1130</v>
      </c>
      <c r="J33" s="10">
        <f t="shared" si="1"/>
        <v>310</v>
      </c>
      <c r="K33" s="11" t="s">
        <v>49</v>
      </c>
      <c r="L33" s="11" t="s">
        <v>56</v>
      </c>
      <c r="M33" s="11" t="s">
        <v>57</v>
      </c>
      <c r="N33" s="12" t="s">
        <v>87</v>
      </c>
    </row>
    <row r="34" spans="1:14" ht="28.8" x14ac:dyDescent="0.3">
      <c r="A34" s="8">
        <v>46277</v>
      </c>
      <c r="B34" s="9">
        <v>360</v>
      </c>
      <c r="C34" s="9">
        <v>40</v>
      </c>
      <c r="D34" s="9">
        <v>240</v>
      </c>
      <c r="E34" s="9">
        <v>90</v>
      </c>
      <c r="F34" s="9">
        <v>0</v>
      </c>
      <c r="G34" s="9">
        <v>0</v>
      </c>
      <c r="H34" s="9">
        <v>40</v>
      </c>
      <c r="I34" s="10">
        <f t="shared" si="0"/>
        <v>770</v>
      </c>
      <c r="J34" s="10">
        <f t="shared" si="1"/>
        <v>670</v>
      </c>
      <c r="K34" s="11" t="s">
        <v>66</v>
      </c>
      <c r="L34" s="11" t="s">
        <v>50</v>
      </c>
      <c r="M34" s="11" t="s">
        <v>51</v>
      </c>
      <c r="N34" s="12" t="s">
        <v>88</v>
      </c>
    </row>
    <row r="35" spans="1:14" ht="28.8" x14ac:dyDescent="0.3">
      <c r="A35" s="8">
        <v>46278</v>
      </c>
      <c r="B35" s="9">
        <v>420</v>
      </c>
      <c r="C35" s="9">
        <v>20</v>
      </c>
      <c r="D35" s="9">
        <v>260</v>
      </c>
      <c r="E35" s="9">
        <v>120</v>
      </c>
      <c r="F35" s="9">
        <v>0</v>
      </c>
      <c r="G35" s="9">
        <v>0</v>
      </c>
      <c r="H35" s="9">
        <v>10</v>
      </c>
      <c r="I35" s="10">
        <f t="shared" si="0"/>
        <v>830</v>
      </c>
      <c r="J35" s="10">
        <f t="shared" si="1"/>
        <v>610</v>
      </c>
      <c r="K35" s="11" t="s">
        <v>66</v>
      </c>
      <c r="L35" s="11" t="s">
        <v>56</v>
      </c>
      <c r="M35" s="11" t="s">
        <v>78</v>
      </c>
      <c r="N35" s="12" t="s">
        <v>89</v>
      </c>
    </row>
    <row r="36" spans="1:14" ht="28.8" x14ac:dyDescent="0.3">
      <c r="A36" s="8">
        <v>46279</v>
      </c>
      <c r="B36" s="9">
        <v>360</v>
      </c>
      <c r="C36" s="9">
        <v>60</v>
      </c>
      <c r="D36" s="9">
        <v>120</v>
      </c>
      <c r="E36" s="9">
        <v>100</v>
      </c>
      <c r="F36" s="9">
        <v>250</v>
      </c>
      <c r="G36" s="9">
        <v>5</v>
      </c>
      <c r="H36" s="9">
        <v>50</v>
      </c>
      <c r="I36" s="10">
        <f t="shared" si="0"/>
        <v>940</v>
      </c>
      <c r="J36" s="10">
        <f t="shared" si="1"/>
        <v>500</v>
      </c>
      <c r="K36" s="11" t="s">
        <v>49</v>
      </c>
      <c r="L36" s="11" t="s">
        <v>50</v>
      </c>
      <c r="M36" s="11" t="s">
        <v>51</v>
      </c>
      <c r="N36" s="12" t="s">
        <v>90</v>
      </c>
    </row>
    <row r="37" spans="1:14" ht="28.8" x14ac:dyDescent="0.3">
      <c r="A37" s="8">
        <v>46280</v>
      </c>
      <c r="B37" s="9">
        <v>400</v>
      </c>
      <c r="C37" s="9">
        <v>50</v>
      </c>
      <c r="D37" s="9">
        <v>180</v>
      </c>
      <c r="E37" s="9">
        <v>100</v>
      </c>
      <c r="F37" s="9">
        <v>250</v>
      </c>
      <c r="G37" s="9">
        <v>5</v>
      </c>
      <c r="H37" s="9">
        <v>60</v>
      </c>
      <c r="I37" s="10">
        <f t="shared" si="0"/>
        <v>1040</v>
      </c>
      <c r="J37" s="10">
        <f t="shared" si="1"/>
        <v>400</v>
      </c>
      <c r="K37" s="11" t="s">
        <v>59</v>
      </c>
      <c r="L37" s="11" t="s">
        <v>50</v>
      </c>
      <c r="M37" s="11" t="s">
        <v>51</v>
      </c>
      <c r="N37" s="14" t="s">
        <v>91</v>
      </c>
    </row>
    <row r="38" spans="1:14" ht="28.8" x14ac:dyDescent="0.3">
      <c r="A38" s="8">
        <v>46281</v>
      </c>
      <c r="B38" s="9">
        <v>420</v>
      </c>
      <c r="C38" s="9">
        <v>70</v>
      </c>
      <c r="D38" s="9">
        <v>240</v>
      </c>
      <c r="E38" s="9">
        <v>30</v>
      </c>
      <c r="F38" s="9">
        <v>250</v>
      </c>
      <c r="G38" s="9">
        <v>5</v>
      </c>
      <c r="H38" s="9">
        <v>70</v>
      </c>
      <c r="I38" s="10">
        <f t="shared" si="0"/>
        <v>1080</v>
      </c>
      <c r="J38" s="10">
        <f t="shared" si="1"/>
        <v>360</v>
      </c>
      <c r="K38" s="11" t="s">
        <v>49</v>
      </c>
      <c r="L38" s="11" t="s">
        <v>50</v>
      </c>
      <c r="M38" s="11" t="s">
        <v>51</v>
      </c>
      <c r="N38" s="12" t="s">
        <v>92</v>
      </c>
    </row>
    <row r="39" spans="1:14" ht="28.8" x14ac:dyDescent="0.3">
      <c r="A39" s="8">
        <v>46282</v>
      </c>
      <c r="B39" s="9">
        <v>420</v>
      </c>
      <c r="C39" s="9">
        <v>80</v>
      </c>
      <c r="D39" s="9">
        <v>100</v>
      </c>
      <c r="E39" s="9">
        <v>90</v>
      </c>
      <c r="F39" s="9">
        <v>300</v>
      </c>
      <c r="G39" s="9">
        <v>6</v>
      </c>
      <c r="H39" s="9">
        <v>60</v>
      </c>
      <c r="I39" s="10">
        <f t="shared" si="0"/>
        <v>1050</v>
      </c>
      <c r="J39" s="10">
        <f t="shared" si="1"/>
        <v>390</v>
      </c>
      <c r="K39" s="11" t="s">
        <v>49</v>
      </c>
      <c r="L39" s="11" t="s">
        <v>50</v>
      </c>
      <c r="M39" s="11" t="s">
        <v>51</v>
      </c>
      <c r="N39" s="12" t="s">
        <v>93</v>
      </c>
    </row>
    <row r="40" spans="1:14" ht="28.8" x14ac:dyDescent="0.3">
      <c r="A40" s="8">
        <v>46283</v>
      </c>
      <c r="B40" s="9">
        <v>400</v>
      </c>
      <c r="C40" s="9">
        <v>60</v>
      </c>
      <c r="D40" s="9">
        <v>180</v>
      </c>
      <c r="E40" s="9">
        <v>150</v>
      </c>
      <c r="F40" s="9">
        <v>300</v>
      </c>
      <c r="G40" s="9">
        <v>6</v>
      </c>
      <c r="H40" s="9">
        <v>60</v>
      </c>
      <c r="I40" s="10">
        <f t="shared" si="0"/>
        <v>1150</v>
      </c>
      <c r="J40" s="10">
        <f t="shared" si="1"/>
        <v>290</v>
      </c>
      <c r="K40" s="11" t="s">
        <v>49</v>
      </c>
      <c r="L40" s="11" t="s">
        <v>50</v>
      </c>
      <c r="M40" s="11" t="s">
        <v>51</v>
      </c>
      <c r="N40" s="12" t="s">
        <v>94</v>
      </c>
    </row>
    <row r="41" spans="1:14" ht="28.8" x14ac:dyDescent="0.3">
      <c r="A41" s="8">
        <v>46284</v>
      </c>
      <c r="B41" s="9">
        <v>420</v>
      </c>
      <c r="C41" s="9">
        <v>60</v>
      </c>
      <c r="D41" s="9">
        <v>240</v>
      </c>
      <c r="E41" s="9">
        <v>180</v>
      </c>
      <c r="F41" s="9">
        <v>0</v>
      </c>
      <c r="G41" s="9">
        <v>0</v>
      </c>
      <c r="H41" s="9">
        <v>70</v>
      </c>
      <c r="I41" s="10">
        <f t="shared" si="0"/>
        <v>970</v>
      </c>
      <c r="J41" s="10">
        <f t="shared" si="1"/>
        <v>470</v>
      </c>
      <c r="K41" s="11" t="s">
        <v>49</v>
      </c>
      <c r="L41" s="11" t="s">
        <v>59</v>
      </c>
      <c r="M41" s="11" t="s">
        <v>51</v>
      </c>
      <c r="N41" s="12" t="s">
        <v>95</v>
      </c>
    </row>
    <row r="42" spans="1:14" ht="28.8" x14ac:dyDescent="0.3">
      <c r="A42" s="8">
        <v>46285</v>
      </c>
      <c r="B42" s="9">
        <v>360</v>
      </c>
      <c r="C42" s="9">
        <v>30</v>
      </c>
      <c r="D42" s="9">
        <v>100</v>
      </c>
      <c r="E42" s="9">
        <v>200</v>
      </c>
      <c r="F42" s="9">
        <v>0</v>
      </c>
      <c r="G42" s="9">
        <v>0</v>
      </c>
      <c r="H42" s="9">
        <v>90</v>
      </c>
      <c r="I42" s="10">
        <f t="shared" si="0"/>
        <v>780</v>
      </c>
      <c r="J42" s="10">
        <f t="shared" si="1"/>
        <v>660</v>
      </c>
      <c r="K42" s="11" t="s">
        <v>66</v>
      </c>
      <c r="L42" s="11" t="s">
        <v>56</v>
      </c>
      <c r="M42" s="11" t="s">
        <v>57</v>
      </c>
      <c r="N42" s="12" t="s">
        <v>96</v>
      </c>
    </row>
    <row r="43" spans="1:14" ht="28.8" x14ac:dyDescent="0.3">
      <c r="A43" s="8">
        <v>46286</v>
      </c>
      <c r="B43" s="9">
        <v>420</v>
      </c>
      <c r="C43" s="9">
        <v>60</v>
      </c>
      <c r="D43" s="9">
        <v>100</v>
      </c>
      <c r="E43" s="9">
        <v>150</v>
      </c>
      <c r="F43" s="9">
        <v>250</v>
      </c>
      <c r="G43" s="9">
        <v>5</v>
      </c>
      <c r="H43" s="9">
        <v>70</v>
      </c>
      <c r="I43" s="10">
        <f t="shared" si="0"/>
        <v>1050</v>
      </c>
      <c r="J43" s="10">
        <f t="shared" si="1"/>
        <v>390</v>
      </c>
      <c r="K43" s="11" t="s">
        <v>49</v>
      </c>
      <c r="L43" s="11" t="s">
        <v>50</v>
      </c>
      <c r="M43" s="11" t="s">
        <v>51</v>
      </c>
      <c r="N43" s="12" t="s">
        <v>97</v>
      </c>
    </row>
    <row r="44" spans="1:14" ht="28.8" x14ac:dyDescent="0.3">
      <c r="A44" s="8">
        <v>46287</v>
      </c>
      <c r="B44" s="9">
        <v>400</v>
      </c>
      <c r="C44" s="9">
        <v>60</v>
      </c>
      <c r="D44" s="9">
        <v>120</v>
      </c>
      <c r="E44" s="9">
        <v>120</v>
      </c>
      <c r="F44" s="9">
        <v>250</v>
      </c>
      <c r="G44" s="9">
        <v>5</v>
      </c>
      <c r="H44" s="9">
        <v>80</v>
      </c>
      <c r="I44" s="10">
        <f t="shared" si="0"/>
        <v>1030</v>
      </c>
      <c r="J44" s="10">
        <f t="shared" si="1"/>
        <v>410</v>
      </c>
      <c r="K44" s="11" t="s">
        <v>59</v>
      </c>
      <c r="L44" s="11" t="s">
        <v>50</v>
      </c>
      <c r="M44" s="11" t="s">
        <v>51</v>
      </c>
      <c r="N44" s="12" t="s">
        <v>98</v>
      </c>
    </row>
    <row r="45" spans="1:14" ht="28.8" x14ac:dyDescent="0.3">
      <c r="A45" s="8">
        <v>46288</v>
      </c>
      <c r="B45" s="9">
        <v>420</v>
      </c>
      <c r="C45" s="9">
        <v>50</v>
      </c>
      <c r="D45" s="9">
        <v>240</v>
      </c>
      <c r="E45" s="9">
        <v>90</v>
      </c>
      <c r="F45" s="9">
        <v>300</v>
      </c>
      <c r="G45" s="9">
        <v>6</v>
      </c>
      <c r="H45" s="9">
        <v>110</v>
      </c>
      <c r="I45" s="10">
        <f t="shared" si="0"/>
        <v>1210</v>
      </c>
      <c r="J45" s="10">
        <f t="shared" si="1"/>
        <v>230</v>
      </c>
      <c r="K45" s="11" t="s">
        <v>49</v>
      </c>
      <c r="L45" s="11" t="s">
        <v>59</v>
      </c>
      <c r="M45" s="11" t="s">
        <v>57</v>
      </c>
      <c r="N45" s="12" t="s">
        <v>99</v>
      </c>
    </row>
    <row r="46" spans="1:14" ht="28.8" x14ac:dyDescent="0.3">
      <c r="A46" s="8">
        <v>46289</v>
      </c>
      <c r="B46" s="9">
        <v>360</v>
      </c>
      <c r="C46" s="9">
        <v>40</v>
      </c>
      <c r="D46" s="9">
        <v>180</v>
      </c>
      <c r="E46" s="9">
        <v>180</v>
      </c>
      <c r="F46" s="9">
        <v>400</v>
      </c>
      <c r="G46" s="9">
        <v>7</v>
      </c>
      <c r="H46" s="9">
        <v>100</v>
      </c>
      <c r="I46" s="10">
        <f t="shared" si="0"/>
        <v>1260</v>
      </c>
      <c r="J46" s="10">
        <f t="shared" si="1"/>
        <v>180</v>
      </c>
      <c r="K46" s="11" t="s">
        <v>66</v>
      </c>
      <c r="L46" s="11" t="s">
        <v>56</v>
      </c>
      <c r="M46" s="11" t="s">
        <v>57</v>
      </c>
      <c r="N46" s="12" t="s">
        <v>100</v>
      </c>
    </row>
    <row r="47" spans="1:14" ht="28.8" x14ac:dyDescent="0.3">
      <c r="A47" s="8">
        <v>46290</v>
      </c>
      <c r="B47" s="9">
        <v>400</v>
      </c>
      <c r="C47" s="9">
        <v>55</v>
      </c>
      <c r="D47" s="9">
        <v>200</v>
      </c>
      <c r="E47" s="9">
        <v>220</v>
      </c>
      <c r="F47" s="9">
        <v>350</v>
      </c>
      <c r="G47" s="9">
        <v>6</v>
      </c>
      <c r="H47" s="9">
        <v>30</v>
      </c>
      <c r="I47" s="10">
        <f t="shared" si="0"/>
        <v>1255</v>
      </c>
      <c r="J47" s="10">
        <f t="shared" si="1"/>
        <v>185</v>
      </c>
      <c r="K47" s="11" t="s">
        <v>66</v>
      </c>
      <c r="L47" s="11" t="s">
        <v>50</v>
      </c>
      <c r="M47" s="11" t="s">
        <v>78</v>
      </c>
      <c r="N47" s="12" t="s">
        <v>101</v>
      </c>
    </row>
    <row r="48" spans="1:14" ht="28.8" x14ac:dyDescent="0.3">
      <c r="A48" s="8">
        <v>46291</v>
      </c>
      <c r="B48" s="9">
        <v>450</v>
      </c>
      <c r="C48" s="9">
        <v>60</v>
      </c>
      <c r="D48" s="9">
        <v>240</v>
      </c>
      <c r="E48" s="9">
        <v>180</v>
      </c>
      <c r="F48" s="9">
        <v>50</v>
      </c>
      <c r="G48" s="9">
        <v>1</v>
      </c>
      <c r="H48" s="9">
        <v>60</v>
      </c>
      <c r="I48" s="10">
        <f t="shared" si="0"/>
        <v>1040</v>
      </c>
      <c r="J48" s="10">
        <f t="shared" si="1"/>
        <v>400</v>
      </c>
      <c r="K48" s="11" t="s">
        <v>66</v>
      </c>
      <c r="L48" s="11" t="s">
        <v>50</v>
      </c>
      <c r="M48" s="11" t="s">
        <v>51</v>
      </c>
      <c r="N48" s="12" t="s">
        <v>102</v>
      </c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ref="I68:I131" si="2">IF(SUM(B68:F68,H68)=0,"",SUM(B68:F68,H68))</f>
        <v/>
      </c>
      <c r="J68" s="10" t="str">
        <f t="shared" ref="J68:J131" si="3">IF(I68="","",1440-I68)</f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2"/>
        <v/>
      </c>
      <c r="J69" s="10" t="str">
        <f t="shared" si="3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ref="I132:I195" si="4">IF(SUM(B132:F132,H132)=0,"",SUM(B132:F132,H132))</f>
        <v/>
      </c>
      <c r="J132" s="10" t="str">
        <f t="shared" ref="J132:J195" si="5">IF(I132="","",1440-I132)</f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4"/>
        <v/>
      </c>
      <c r="J133" s="10" t="str">
        <f t="shared" si="5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ref="I196:I259" si="6">IF(SUM(B196:F196,H196)=0,"",SUM(B196:F196,H196))</f>
        <v/>
      </c>
      <c r="J196" s="10" t="str">
        <f t="shared" ref="J196:J259" si="7">IF(I196="","",1440-I196)</f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6"/>
        <v/>
      </c>
      <c r="J197" s="10" t="str">
        <f t="shared" si="7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ref="I260:I323" si="8">IF(SUM(B260:F260,H260)=0,"",SUM(B260:F260,H260))</f>
        <v/>
      </c>
      <c r="J260" s="10" t="str">
        <f t="shared" ref="J260:J323" si="9">IF(I260="","",1440-I260)</f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8"/>
        <v/>
      </c>
      <c r="J261" s="10" t="str">
        <f t="shared" si="9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ref="I324:I387" si="10">IF(SUM(B324:F324,H324)=0,"",SUM(B324:F324,H324))</f>
        <v/>
      </c>
      <c r="J324" s="10" t="str">
        <f t="shared" ref="J324:J387" si="11">IF(I324="","",1440-I324)</f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10"/>
        <v/>
      </c>
      <c r="J325" s="10" t="str">
        <f t="shared" si="11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ref="I388:I399" si="12">IF(SUM(B388:F388,H388)=0,"",SUM(B388:F388,H388))</f>
        <v/>
      </c>
      <c r="J388" s="10" t="str">
        <f t="shared" ref="J388:J399" si="13">IF(I388="","",1440-I388)</f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2"/>
        <v/>
      </c>
      <c r="J389" s="10" t="str">
        <f t="shared" si="13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</sheetData>
  <mergeCells count="5">
    <mergeCell ref="A4:N4"/>
    <mergeCell ref="A1:N1"/>
    <mergeCell ref="B2:D2"/>
    <mergeCell ref="F2:G2"/>
    <mergeCell ref="B3:D3"/>
  </mergeCells>
  <conditionalFormatting sqref="J6:J399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2 K43:K399" xr:uid="{00000000-0002-0000-0100-000000000000}">
      <formula1>"Excellent,Good,Neutral,Low,Stressed"</formula1>
      <formula2>0</formula2>
    </dataValidation>
    <dataValidation type="list" allowBlank="1" prompt="Select today's satisfaction level" sqref="L6:L42 L43:L399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2 M43:M399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Vivek Rai</cp:lastModifiedBy>
  <cp:revision>0</cp:revision>
  <dcterms:created xsi:type="dcterms:W3CDTF">2026-07-24T11:49:30Z</dcterms:created>
  <dcterms:modified xsi:type="dcterms:W3CDTF">2026-10-03T06:34:38Z</dcterms:modified>
  <dc:language>en-US</dc:language>
</cp:coreProperties>
</file>